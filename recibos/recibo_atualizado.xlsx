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9C27E0B1-914A-4D33-B6DF-BEC4950AB518}"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<sst xmlns="http://schemas.openxmlformats.org/spreadsheetml/2006/main" count="51" uniqueCount="49">
  <si>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</si>
  <si>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</si>
  <si>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</si>
  <si>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</si>
  <si>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</si>
  <si>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</si>
  <si>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</si>
  <si>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</si>
  <si>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</si>
  <si>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</si>
  <si>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</si>
  <si>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</si>
  <si>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</si>
  <si>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</si>
  <si>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</si>
  <si>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</si>
  <si>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</si>
  <si>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</si>
  <si>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</si>
  <si>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</si>
  <si>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</si>
  <si>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</si>
  <si>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</si>
  <si>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</si>
  <si>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</si>
  <si>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</si>
  <si>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</si>
  <si>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</si>
  <si>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</si>
  <si>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</si>
  <si>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</si>
  <si>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</si>
  <si>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</si>
  <si>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</si>
  <si>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</si>
  <si>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</si>
  <si>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</si>
  <si>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</si>
  <si>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</si>
  <si>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</si>
  <si>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</si>
  <si>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</si>
  <si>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</si>
  <si>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</si>
  <si>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</si>
  <si>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</si>
  <si>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aaaa</t>
  </si>
  <si>
    <t>aaaaa</t>
  </si>
  <si>
    <t>2025-08-13T10:36:59.752211900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</si>
</sst>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46</v>
      </c>
      <c r="C8" s="20"/>
      <c r="D8" s="26"/>
      <c r="E8" s="14">
        <v>2034</v>
      </c>
      <c r="F8" s="27">
        <f ca="1">TODAY()</f>
        <v>45882</v>
      </c>
      <c r="H8" s="22"/>
    </row>
    <row r="9" spans="2:9" ht="15" customHeight="1" x14ac:dyDescent="0.25">
      <c r="B9" s="25" t="s">
        <v>47</v>
      </c>
      <c r="C9" s="20"/>
      <c r="D9" s="18"/>
      <c r="E9" s="14"/>
      <c r="F9" s="27"/>
      <c r="H9" s="16"/>
    </row>
    <row r="10" spans="2:9" ht="15" customHeight="1" x14ac:dyDescent="0.25">
      <c r="B10" s="25" t="s">
        <v>48</v>
      </c>
      <c r="C10" s="20"/>
      <c r="D10" s="18"/>
      <c r="E10" s="53" t="s">
        <v>10</v>
      </c>
      <c r="F10" s="53" t="s">
        <v>11</v>
      </c>
      <c r="H10" s="16"/>
    </row>
    <row r="11" spans="2:9" ht="15" customHeight="1" x14ac:dyDescent="0.25">
      <c r="B11" s="25" t="s">
        <v>17</v>
      </c>
      <c r="C11" s="20"/>
      <c r="D11" s="18"/>
      <c r="E11" s="28">
        <v>564</v>
      </c>
      <c r="F11" s="28" t="s">
        <v>14</v>
      </c>
      <c r="H11" s="55" t="s">
        <v>18</v>
      </c>
    </row>
    <row r="12" spans="2:9" ht="15" customHeight="1" x14ac:dyDescent="0.25">
      <c r="B12" s="25" t="s">
        <v>19</v>
      </c>
      <c r="C12" s="20"/>
      <c r="D12" s="18"/>
      <c r="E12" s="18"/>
      <c r="F12" s="18"/>
      <c r="H12" s="22" t="s">
        <v>20</v>
      </c>
    </row>
    <row r="13" spans="2:9" ht="15" customHeight="1" x14ac:dyDescent="0.25">
      <c r="B13" s="29" t="s">
        <v>21</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28</v>
      </c>
      <c r="C16" s="32"/>
      <c r="D16" s="33">
        <v>1</v>
      </c>
      <c r="E16" s="34">
        <v>200</v>
      </c>
      <c r="F16" s="35">
        <f>IF(D16="",ROUND(1*E16,2),ROUND(D16*E16,2))</f>
        <v>200</v>
      </c>
      <c r="H16" s="22"/>
    </row>
    <row r="17" spans="2:8" ht="19.899999999999999" customHeight="1" x14ac:dyDescent="0.25">
      <c r="B17" s="36" t="s">
        <v>29</v>
      </c>
      <c r="C17" s="37"/>
      <c r="D17" s="38">
        <v>5</v>
      </c>
      <c r="E17" s="39">
        <v>75</v>
      </c>
      <c r="F17" s="40">
        <f t="shared" ref="F17:F30" si="0">IF(D17="",ROUND(1*E17,2),ROUND(D17*E17,2))</f>
        <v>375</v>
      </c>
      <c r="H17" s="22"/>
    </row>
    <row r="18" spans="2:8" ht="19.899999999999999" customHeight="1" x14ac:dyDescent="0.25">
      <c r="B18" s="36" t="s">
        <v>30</v>
      </c>
      <c r="C18" s="37"/>
      <c r="D18" s="38"/>
      <c r="E18" s="39">
        <v>-50</v>
      </c>
      <c r="F18" s="40">
        <f t="shared" si="0"/>
        <v>-50</v>
      </c>
      <c r="H18" s="22" t="s">
        <v>31</v>
      </c>
    </row>
    <row r="19" spans="2:8" ht="19.899999999999999" customHeight="1" x14ac:dyDescent="0.25">
      <c r="B19" s="36"/>
      <c r="C19" s="37"/>
      <c r="D19" s="38"/>
      <c r="E19" s="39"/>
      <c r="F19" s="40">
        <f t="shared" si="0"/>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32</v>
      </c>
      <c r="C31" s="63"/>
      <c r="D31" s="64" t="s">
        <v>33</v>
      </c>
      <c r="E31" s="64"/>
      <c r="F31" s="45">
        <f>SUM(F16:F30)</f>
        <v>525</v>
      </c>
      <c r="H31" s="22"/>
    </row>
    <row r="32" spans="2:8" ht="19.899999999999999" customHeight="1" x14ac:dyDescent="0.25">
      <c r="B32" s="23"/>
      <c r="C32" s="16"/>
      <c r="D32" s="64" t="s">
        <v>34</v>
      </c>
      <c r="E32" s="64"/>
      <c r="F32" s="46">
        <v>4.2500000000000003E-2</v>
      </c>
      <c r="H32" s="22" t="s">
        <v>35</v>
      </c>
    </row>
    <row r="33" spans="2:8" ht="19.899999999999999" customHeight="1" x14ac:dyDescent="0.25">
      <c r="B33" s="23"/>
      <c r="C33" s="16"/>
      <c r="D33" s="23" t="s">
        <v>36</v>
      </c>
      <c r="E33" s="23"/>
      <c r="F33" s="45">
        <f>F31*F32</f>
        <v>22.3125</v>
      </c>
      <c r="H33" s="22"/>
    </row>
    <row r="34" spans="2:8" ht="30" customHeight="1" x14ac:dyDescent="0.25">
      <c r="B34" s="47"/>
      <c r="C34" s="48"/>
      <c r="D34" s="49" t="s">
        <v>37</v>
      </c>
      <c r="E34" s="57"/>
      <c r="F34" s="58">
        <f>F31+F33</f>
        <v>547.3125</v>
      </c>
      <c r="H34" s="22" t="s">
        <v>38</v>
      </c>
    </row>
    <row r="35" spans="2:8" ht="19.899999999999999" customHeight="1" x14ac:dyDescent="0.25">
      <c r="B35" s="18"/>
      <c r="C35" s="16"/>
      <c r="D35" s="50"/>
      <c r="E35" s="50"/>
      <c r="F35" s="50"/>
      <c r="H35" s="22" t="s">
        <v>39</v>
      </c>
    </row>
    <row r="36" spans="2:8" ht="19.899999999999999" customHeight="1" x14ac:dyDescent="0.25">
      <c r="B36" s="16"/>
      <c r="C36" s="16"/>
      <c r="D36" s="16"/>
      <c r="E36" s="16"/>
      <c r="F36" s="16"/>
      <c r="H36" s="22"/>
    </row>
    <row r="37" spans="2:8" ht="19.899999999999999" customHeight="1" x14ac:dyDescent="0.25">
      <c r="B37" s="65" t="s">
        <v>40</v>
      </c>
      <c r="C37" s="65"/>
      <c r="D37" s="65"/>
      <c r="E37" s="65"/>
      <c r="F37" s="65"/>
      <c r="H37" s="30"/>
    </row>
    <row r="38" spans="2:8" ht="19.899999999999999" customHeight="1" x14ac:dyDescent="0.25">
      <c r="B38" s="61" t="s">
        <v>41</v>
      </c>
      <c r="C38" s="61"/>
      <c r="D38" s="61"/>
      <c r="E38" s="61"/>
      <c r="F38" s="61"/>
      <c r="H38" s="22" t="s">
        <v>42</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43</v>
      </c>
    </row>
    <row r="6" spans="1:2" ht="60" x14ac:dyDescent="0.25">
      <c r="A6" s="9" t="s">
        <v>44</v>
      </c>
    </row>
    <row r="7" spans="1:2" ht="15" x14ac:dyDescent="0.25">
      <c r="A7" s="9"/>
    </row>
    <row r="8" spans="1:2" ht="82.9" customHeight="1" x14ac:dyDescent="0.25">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2025-08-13T08:15:28Z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